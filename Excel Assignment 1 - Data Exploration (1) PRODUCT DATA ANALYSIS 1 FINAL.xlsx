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24F9A1F-2130-4DDF-8D48-04B7A624F7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38" i="2" l="1"/>
  <c r="M31" i="2"/>
  <c r="M33" i="2"/>
  <c r="M32" i="2"/>
  <c r="N49" i="2"/>
  <c r="M42" i="2"/>
  <c r="M41" i="2"/>
  <c r="M40" i="2"/>
  <c r="M39" i="2"/>
  <c r="M35" i="2"/>
  <c r="M34" i="2"/>
  <c r="N54" i="2"/>
  <c r="N53" i="2"/>
  <c r="N51" i="2"/>
  <c r="N50" i="2"/>
  <c r="N48" i="2"/>
  <c r="N4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2" i="2"/>
  <c r="I2" i="2"/>
  <c r="J2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</calcChain>
</file>

<file path=xl/sharedStrings.xml><?xml version="1.0" encoding="utf-8"?>
<sst xmlns="http://schemas.openxmlformats.org/spreadsheetml/2006/main" count="208" uniqueCount="153">
  <si>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</si>
  <si>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</si>
  <si>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</si>
  <si>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</si>
  <si>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</si>
  <si>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</si>
  <si>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</si>
  <si>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</si>
  <si>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</si>
  <si>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</si>
  <si>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</si>
  <si>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</si>
  <si>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</si>
  <si>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</si>
  <si>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</si>
  <si>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</si>
  <si>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</si>
  <si>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</si>
  <si>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</si>
  <si>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</si>
  <si>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</si>
  <si>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</si>
  <si>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</si>
  <si>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</si>
  <si>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</si>
  <si>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</si>
  <si>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</si>
  <si>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</si>
  <si>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</si>
  <si>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</si>
  <si>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</si>
  <si>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</si>
  <si>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</si>
  <si>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</si>
  <si>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</si>
  <si>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</si>
  <si>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</si>
  <si>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</si>
  <si>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</si>
  <si>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</si>
  <si>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</si>
  <si>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</si>
  <si>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</si>
  <si>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</si>
  <si>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</si>
  <si>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</si>
  <si>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</si>
  <si>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</si>
  <si>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</si>
  <si>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</si>
  <si>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</si>
  <si>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</si>
  <si>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</si>
  <si>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</si>
  <si>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</si>
  <si>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</si>
  <si>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</si>
  <si>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</si>
  <si>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</si>
  <si>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</si>
  <si>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</si>
  <si>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</si>
  <si>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</si>
  <si>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</si>
  <si>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</si>
  <si>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</si>
  <si>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</si>
  <si>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</si>
  <si>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</si>
  <si>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</si>
  <si>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</si>
  <si>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</si>
  <si>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</si>
  <si>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</si>
  <si>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</si>
  <si>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</si>
  <si>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</si>
  <si>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</si>
  <si>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</si>
  <si>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</si>
  <si>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</si>
  <si>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</si>
  <si>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</si>
  <si>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</si>
  <si>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</si>
  <si>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</si>
  <si>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</si>
  <si>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</si>
  <si>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</si>
  <si>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</si>
  <si>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</si>
  <si>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</si>
  <si>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</si>
  <si>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</si>
  <si>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</si>
  <si>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</si>
  <si>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</si>
  <si>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</si>
  <si>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</si>
  <si>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</si>
  <si>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</si>
  <si>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</si>
  <si>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</si>
  <si>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</si>
  <si>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</si>
  <si>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</si>
  <si>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</si>
  <si>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</si>
  <si>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</si>
  <si>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</si>
  <si>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</si>
  <si>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</si>
  <si>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</si>
  <si>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</si>
  <si>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SUMMARY OF KEY CALCULATIONS</t>
  </si>
  <si>
    <t>Task</t>
  </si>
  <si>
    <t>Details</t>
  </si>
  <si>
    <t>Result</t>
  </si>
  <si>
    <t>PRODUCT DATA ANALYSIS DASHBOARD</t>
  </si>
  <si>
    <t>CATEGORY</t>
  </si>
  <si>
    <t>Number of Products</t>
  </si>
  <si>
    <t>TOTAL PRICE</t>
  </si>
  <si>
    <r>
      <rPr>
        <b/>
        <sz val="18"/>
        <color rgb="FF000000"/>
        <rFont val="Aptos Display"/>
        <family val="2"/>
      </rPr>
      <t>1</t>
    </r>
    <r>
      <rPr>
        <b/>
        <sz val="14"/>
        <color rgb="FF000000"/>
        <rFont val="Aptos Display"/>
        <family val="2"/>
      </rPr>
      <t>.  COUNT</t>
    </r>
  </si>
  <si>
    <r>
      <rPr>
        <b/>
        <sz val="16"/>
        <color rgb="FF000000"/>
        <rFont val="Aptos Display"/>
        <family val="2"/>
      </rPr>
      <t>2</t>
    </r>
    <r>
      <rPr>
        <b/>
        <sz val="14"/>
        <color rgb="FF000000"/>
        <rFont val="Aptos Display"/>
        <family val="2"/>
      </rPr>
      <t xml:space="preserve">.  MINIMUM PRICE </t>
    </r>
  </si>
  <si>
    <t>4.  SUMIF function</t>
  </si>
  <si>
    <t xml:space="preserve">    - MAXIMUM PRICE</t>
  </si>
  <si>
    <t xml:space="preserve">   - COUNTIF function</t>
  </si>
  <si>
    <t xml:space="preserve">     - AVERAGE</t>
  </si>
  <si>
    <t xml:space="preserve">     - SUM</t>
  </si>
  <si>
    <r>
      <rPr>
        <b/>
        <sz val="16"/>
        <color rgb="FF000000"/>
        <rFont val="Aptos Display"/>
        <family val="2"/>
      </rPr>
      <t>3.</t>
    </r>
    <r>
      <rPr>
        <b/>
        <sz val="14"/>
        <color rgb="FF000000"/>
        <rFont val="Aptos Display"/>
        <family val="2"/>
      </rPr>
      <t xml:space="preserve">  IF function</t>
    </r>
  </si>
  <si>
    <t xml:space="preserve"> Total number of product entries in the dataset.</t>
  </si>
  <si>
    <t xml:space="preserve"> Total price of all products in the dataset.</t>
  </si>
  <si>
    <t xml:space="preserve"> Average price of the products.</t>
  </si>
  <si>
    <t xml:space="preserve"> The Lowest price among all products</t>
  </si>
  <si>
    <t xml:space="preserve"> The Highest price among all products</t>
  </si>
  <si>
    <t xml:space="preserve"> Total price of all products of Electronics category using SUMIF function</t>
  </si>
  <si>
    <t xml:space="preserve"> Number of products with price less than $100 using COUNTIF function</t>
  </si>
  <si>
    <t xml:space="preserve"> Extract the first 2 characters of Product ID using LEFT function</t>
  </si>
  <si>
    <t xml:space="preserve"> Extract the last 2 characters of Product ID using RIGHT function</t>
  </si>
  <si>
    <t xml:space="preserve"> Extract the 4th-6th characters of Product ID using MID function</t>
  </si>
  <si>
    <t xml:space="preserve"> Electronics</t>
  </si>
  <si>
    <t xml:space="preserve"> Fashion</t>
  </si>
  <si>
    <t xml:space="preserve"> Kitchen</t>
  </si>
  <si>
    <t xml:space="preserve"> Outdoor</t>
  </si>
  <si>
    <t xml:space="preserve"> Accessories</t>
  </si>
  <si>
    <t xml:space="preserve"> Price range column created </t>
  </si>
  <si>
    <t xml:space="preserve"> Day column created </t>
  </si>
  <si>
    <t xml:space="preserve"> Country code column created</t>
  </si>
  <si>
    <t xml:space="preserve"> Month column created</t>
  </si>
  <si>
    <t xml:space="preserve"> Categorize products as High Price(&gt;=500) or Standard Price(&lt;=500) </t>
  </si>
  <si>
    <t>5.  LEFT function</t>
  </si>
  <si>
    <t xml:space="preserve">   - RIGHT function</t>
  </si>
  <si>
    <t xml:space="preserve">   - MID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</si>
</sst>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2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  <scheme val="minor"/>
    </font>
    <font>
      <b/>
      <sz val="28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ptos Display"/>
      <family val="2"/>
    </font>
    <font>
      <b/>
      <sz val="14"/>
      <color rgb="FF000000"/>
      <name val="Aptos Display"/>
      <family val="2"/>
    </font>
    <font>
      <b/>
      <sz val="14"/>
      <color rgb="FF000000"/>
      <name val="Arial"/>
      <family val="2"/>
      <scheme val="major"/>
    </font>
    <font>
      <b/>
      <sz val="16"/>
      <color rgb="FF000000"/>
      <name val="Aptos Display"/>
      <family val="2"/>
    </font>
    <font>
      <b/>
      <sz val="18"/>
      <color rgb="FF000000"/>
      <name val="Aptos Display"/>
      <family val="2"/>
    </font>
    <font>
      <b/>
      <sz val="20"/>
      <color theme="0"/>
      <name val="Arial"/>
      <family val="2"/>
      <scheme val="minor"/>
    </font>
    <font>
      <b/>
      <sz val="36"/>
      <color theme="0"/>
      <name val="Aptos"/>
      <family val="2"/>
    </font>
    <font>
      <sz val="16"/>
      <color rgb="FF000000"/>
      <name val="Aptos Display"/>
      <family val="2"/>
    </font>
    <font>
      <b/>
      <sz val="16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2" borderId="0" xfId="0" applyFont="1" applyFill="1" applyAlignment="1">
      <alignment horizontal="center"/>
    </xf>
    <xf numFmtId="164" fontId="6" fillId="0" borderId="0" xfId="0" applyNumberFormat="1" applyFont="1"/>
    <xf numFmtId="164" fontId="6" fillId="3" borderId="0" xfId="0" applyNumberFormat="1" applyFont="1" applyFill="1"/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3" fillId="0" borderId="1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6" fillId="5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164" fontId="19" fillId="0" borderId="2" xfId="0" applyNumberFormat="1" applyFont="1" applyBorder="1" applyAlignment="1">
      <alignment horizontal="right"/>
    </xf>
    <xf numFmtId="164" fontId="19" fillId="0" borderId="2" xfId="0" applyNumberFormat="1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9" fillId="0" borderId="9" xfId="0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9" fillId="0" borderId="1" xfId="0" applyFont="1" applyBorder="1"/>
    <xf numFmtId="0" fontId="9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7" fillId="6" borderId="3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solid">
          <bgColor theme="4" tint="0.59996337778862885"/>
        </patternFill>
      </fill>
    </dxf>
    <dxf>
      <font>
        <color theme="3"/>
      </font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  <color theme="1"/>
      </font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1009]* #,##0.00_-;\-[$$-1009]* #,##0.00_-;_-[$$-1009]* &quot;-&quot;??_-;_-@_-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</a:t>
            </a:r>
            <a:r>
              <a:rPr lang="en-US" sz="1600" baseline="0"/>
              <a:t> DISTRIBUTION BY CATEGORY</a:t>
            </a:r>
            <a:endParaRPr lang="en-US" sz="1600"/>
          </a:p>
        </c:rich>
      </c:tx>
      <c:layout>
        <c:manualLayout>
          <c:xMode val="edge"/>
          <c:yMode val="edge"/>
          <c:x val="0.19703080258376626"/>
          <c:y val="3.1103162914650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3106744978817"/>
          <c:y val="0.22000293032351279"/>
          <c:w val="0.48863499063748222"/>
          <c:h val="0.7537112512704782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BE-460C-A768-063E5A957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BE-460C-A768-063E5A957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BE-460C-A768-063E5A957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BE-460C-A768-063E5A957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5BE-460C-A768-063E5A957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D60-4EB8-A0ED-577B286CB33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BE-460C-A768-063E5A957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Dataset!$L$30:$L$35</c:f>
              <c:strCache>
                <c:ptCount val="6"/>
                <c:pt idx="0">
                  <c:v>CATEGORY</c:v>
                </c:pt>
                <c:pt idx="1">
                  <c:v> Electronics</c:v>
                </c:pt>
                <c:pt idx="2">
                  <c:v> Fashion</c:v>
                </c:pt>
                <c:pt idx="3">
                  <c:v> Kitchen</c:v>
                </c:pt>
                <c:pt idx="4">
                  <c:v> Outdoor</c:v>
                </c:pt>
                <c:pt idx="5">
                  <c:v> Accessories</c:v>
                </c:pt>
              </c:strCache>
            </c:strRef>
          </c:cat>
          <c:val>
            <c:numRef>
              <c:f>Dataset!$M$30:$M$35</c:f>
              <c:numCache>
                <c:formatCode>General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E-460C-A768-063E5A95725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3642487670127778E-2"/>
          <c:y val="0.11501074122215327"/>
          <c:w val="0.91926187450720676"/>
          <c:h val="9.0608031564562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PRICE BY CATEGORY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Dataset!$M$37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Dataset!$L$38:$L$42</c:f>
              <c:strCache>
                <c:ptCount val="5"/>
                <c:pt idx="0">
                  <c:v> Electronics</c:v>
                </c:pt>
                <c:pt idx="1">
                  <c:v> Fashion</c:v>
                </c:pt>
                <c:pt idx="2">
                  <c:v> Kitchen</c:v>
                </c:pt>
                <c:pt idx="3">
                  <c:v> Outdoor</c:v>
                </c:pt>
                <c:pt idx="4">
                  <c:v> Accessories</c:v>
                </c:pt>
              </c:strCache>
            </c:strRef>
          </c:cat>
          <c:val>
            <c:numRef>
              <c:f>Dataset!$M$38:$M$42</c:f>
              <c:numCache>
                <c:formatCode>_-[$$-1009]* #,##0.00_-;\-[$$-1009]* #,##0.00_-;_-[$$-1009]* "-"??_-;_-@_-</c:formatCode>
                <c:ptCount val="5"/>
                <c:pt idx="0">
                  <c:v>8050</c:v>
                </c:pt>
                <c:pt idx="1">
                  <c:v>590</c:v>
                </c:pt>
                <c:pt idx="2">
                  <c:v>860</c:v>
                </c:pt>
                <c:pt idx="3">
                  <c:v>400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5-473A-B6D5-30A6A89F97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9574800"/>
        <c:axId val="729564720"/>
      </c:barChart>
      <c:catAx>
        <c:axId val="72957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64720"/>
        <c:crosses val="autoZero"/>
        <c:auto val="1"/>
        <c:lblAlgn val="ctr"/>
        <c:lblOffset val="100"/>
        <c:noMultiLvlLbl val="0"/>
      </c:catAx>
      <c:valAx>
        <c:axId val="7295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9]* #,##0.00_-;\-[$$-1009]* #,##0.00_-;_-[$$-10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7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18171</xdr:colOff>
      <xdr:row>3</xdr:row>
      <xdr:rowOff>9351</xdr:rowOff>
    </xdr:from>
    <xdr:to>
      <xdr:col>11</xdr:col>
      <xdr:colOff>2172976</xdr:colOff>
      <xdr:row>9</xdr:row>
      <xdr:rowOff>37484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95C0B15-DC50-4305-85BE-F462763FE647}"/>
            </a:ext>
          </a:extLst>
        </xdr:cNvPr>
        <xdr:cNvSpPr/>
      </xdr:nvSpPr>
      <xdr:spPr>
        <a:xfrm>
          <a:off x="10260639" y="603117"/>
          <a:ext cx="2154805" cy="1215666"/>
        </a:xfrm>
        <a:prstGeom prst="roundRect">
          <a:avLst>
            <a:gd name="adj" fmla="val 5556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chemeClr val="accent1">
                  <a:lumMod val="50000"/>
                </a:schemeClr>
              </a:solidFill>
            </a:rPr>
            <a:t>TOTAL</a:t>
          </a:r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PRODUCTS</a:t>
          </a:r>
        </a:p>
        <a:p>
          <a:pPr algn="ctr"/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34</a:t>
          </a:r>
        </a:p>
        <a:p>
          <a:pPr algn="ctr"/>
          <a:r>
            <a:rPr lang="en-IN" sz="1100" baseline="0">
              <a:solidFill>
                <a:schemeClr val="accent1">
                  <a:lumMod val="50000"/>
                </a:schemeClr>
              </a:solidFill>
            </a:rPr>
            <a:t>	</a:t>
          </a:r>
        </a:p>
      </xdr:txBody>
    </xdr:sp>
    <xdr:clientData/>
  </xdr:twoCellAnchor>
  <xdr:twoCellAnchor editAs="absolute">
    <xdr:from>
      <xdr:col>11</xdr:col>
      <xdr:colOff>2603431</xdr:colOff>
      <xdr:row>3</xdr:row>
      <xdr:rowOff>10549</xdr:rowOff>
    </xdr:from>
    <xdr:to>
      <xdr:col>12</xdr:col>
      <xdr:colOff>1957869</xdr:colOff>
      <xdr:row>9</xdr:row>
      <xdr:rowOff>46721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BAF04E-714C-4185-B58C-82DB872AAE96}"/>
            </a:ext>
          </a:extLst>
        </xdr:cNvPr>
        <xdr:cNvSpPr/>
      </xdr:nvSpPr>
      <xdr:spPr>
        <a:xfrm>
          <a:off x="12845899" y="604315"/>
          <a:ext cx="2154763" cy="1223705"/>
        </a:xfrm>
        <a:prstGeom prst="roundRect">
          <a:avLst>
            <a:gd name="adj" fmla="val 5556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>
              <a:solidFill>
                <a:srgbClr val="00B050"/>
              </a:solidFill>
            </a:rPr>
            <a:t>TOTAL PRICE </a:t>
          </a:r>
        </a:p>
        <a:p>
          <a:pPr algn="ctr"/>
          <a:r>
            <a:rPr lang="en-IN" sz="2400" b="1">
              <a:solidFill>
                <a:srgbClr val="00B050"/>
              </a:solidFill>
            </a:rPr>
            <a:t>$10,100.00</a:t>
          </a:r>
        </a:p>
      </xdr:txBody>
    </xdr:sp>
    <xdr:clientData/>
  </xdr:twoCellAnchor>
  <xdr:twoCellAnchor editAs="absolute">
    <xdr:from>
      <xdr:col>12</xdr:col>
      <xdr:colOff>2388324</xdr:colOff>
      <xdr:row>3</xdr:row>
      <xdr:rowOff>11266</xdr:rowOff>
    </xdr:from>
    <xdr:to>
      <xdr:col>12</xdr:col>
      <xdr:colOff>4543130</xdr:colOff>
      <xdr:row>9</xdr:row>
      <xdr:rowOff>63426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1C1B2B-91CB-4E84-8B30-086C8DB90878}"/>
            </a:ext>
          </a:extLst>
        </xdr:cNvPr>
        <xdr:cNvSpPr/>
      </xdr:nvSpPr>
      <xdr:spPr>
        <a:xfrm>
          <a:off x="15431117" y="605032"/>
          <a:ext cx="2154806" cy="1239693"/>
        </a:xfrm>
        <a:prstGeom prst="roundRect">
          <a:avLst>
            <a:gd name="adj" fmla="val 5556"/>
          </a:avLst>
        </a:prstGeom>
        <a:solidFill>
          <a:schemeClr val="bg2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600" b="1" baseline="0">
              <a:solidFill>
                <a:schemeClr val="tx1"/>
              </a:solidFill>
            </a:rPr>
            <a:t>AVERAGE PRICE 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$297.06   </a:t>
          </a:r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   </a:t>
          </a:r>
          <a:r>
            <a:rPr lang="en-IN" sz="1100" b="0" baseline="0">
              <a:solidFill>
                <a:schemeClr val="accent1">
                  <a:lumMod val="50000"/>
                </a:schemeClr>
              </a:solidFill>
            </a:rPr>
            <a:t>    </a:t>
          </a:r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</a:t>
          </a:r>
          <a:endParaRPr lang="en-IN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absolute">
    <xdr:from>
      <xdr:col>12</xdr:col>
      <xdr:colOff>4973585</xdr:colOff>
      <xdr:row>2</xdr:row>
      <xdr:rowOff>180614</xdr:rowOff>
    </xdr:from>
    <xdr:to>
      <xdr:col>13</xdr:col>
      <xdr:colOff>550664</xdr:colOff>
      <xdr:row>9</xdr:row>
      <xdr:rowOff>64143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B452053-3EDB-43D6-B812-A2D5B221C26E}"/>
            </a:ext>
          </a:extLst>
        </xdr:cNvPr>
        <xdr:cNvSpPr/>
      </xdr:nvSpPr>
      <xdr:spPr>
        <a:xfrm>
          <a:off x="18016378" y="576458"/>
          <a:ext cx="2153980" cy="1268984"/>
        </a:xfrm>
        <a:prstGeom prst="roundRect">
          <a:avLst>
            <a:gd name="adj" fmla="val 5556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 b="0" baseline="0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IN" sz="1400" b="1" baseline="0">
              <a:solidFill>
                <a:schemeClr val="tx1"/>
              </a:solidFill>
            </a:rPr>
            <a:t> </a:t>
          </a:r>
          <a:r>
            <a:rPr lang="en-IN" sz="1600" b="1" baseline="0">
              <a:solidFill>
                <a:schemeClr val="tx1"/>
              </a:solidFill>
            </a:rPr>
            <a:t>MINIMUM PRICE</a:t>
          </a:r>
        </a:p>
        <a:p>
          <a:pPr algn="ctr"/>
          <a:r>
            <a:rPr lang="en-IN" sz="2400" b="1" baseline="0">
              <a:solidFill>
                <a:schemeClr val="tx1"/>
              </a:solidFill>
            </a:rPr>
            <a:t>$30</a:t>
          </a:r>
        </a:p>
      </xdr:txBody>
    </xdr:sp>
    <xdr:clientData/>
  </xdr:twoCellAnchor>
  <xdr:twoCellAnchor editAs="absolute">
    <xdr:from>
      <xdr:col>13</xdr:col>
      <xdr:colOff>981117</xdr:colOff>
      <xdr:row>2</xdr:row>
      <xdr:rowOff>178172</xdr:rowOff>
    </xdr:from>
    <xdr:to>
      <xdr:col>14</xdr:col>
      <xdr:colOff>5251</xdr:colOff>
      <xdr:row>9</xdr:row>
      <xdr:rowOff>35569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5D12AE8-0470-4CF2-9F8D-FBB9E2F5AFA4}"/>
            </a:ext>
          </a:extLst>
        </xdr:cNvPr>
        <xdr:cNvSpPr/>
      </xdr:nvSpPr>
      <xdr:spPr>
        <a:xfrm>
          <a:off x="20600811" y="574016"/>
          <a:ext cx="2340000" cy="1242852"/>
        </a:xfrm>
        <a:prstGeom prst="roundRect">
          <a:avLst>
            <a:gd name="adj" fmla="val 5556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 baseline="0">
              <a:solidFill>
                <a:schemeClr val="accent1">
                  <a:lumMod val="50000"/>
                </a:schemeClr>
              </a:solidFill>
            </a:rPr>
            <a:t>  </a:t>
          </a:r>
        </a:p>
        <a:p>
          <a:pPr algn="ctr"/>
          <a:r>
            <a:rPr lang="en-IN" sz="16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1600" b="1" baseline="0">
              <a:solidFill>
                <a:srgbClr val="FF0000"/>
              </a:solidFill>
            </a:rPr>
            <a:t>MAXIMUM PRIZE</a:t>
          </a:r>
        </a:p>
        <a:p>
          <a:pPr algn="ctr"/>
          <a:r>
            <a:rPr lang="en-IN" sz="2400" b="1" baseline="0">
              <a:solidFill>
                <a:srgbClr val="FF0000"/>
              </a:solidFill>
            </a:rPr>
            <a:t>$1000</a:t>
          </a:r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13</xdr:col>
      <xdr:colOff>1912619</xdr:colOff>
      <xdr:row>3</xdr:row>
      <xdr:rowOff>15571</xdr:rowOff>
    </xdr:from>
    <xdr:to>
      <xdr:col>13</xdr:col>
      <xdr:colOff>2291702</xdr:colOff>
      <xdr:row>5</xdr:row>
      <xdr:rowOff>3226</xdr:rowOff>
    </xdr:to>
    <xdr:pic>
      <xdr:nvPicPr>
        <xdr:cNvPr id="8" name="Graphic 7" descr="Upward trend with solid fill">
          <a:extLst>
            <a:ext uri="{FF2B5EF4-FFF2-40B4-BE49-F238E27FC236}">
              <a16:creationId xmlns:a16="http://schemas.microsoft.com/office/drawing/2014/main" id="{635E6111-ED90-442C-86C7-77524996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535406" y="622790"/>
          <a:ext cx="379083" cy="392467"/>
        </a:xfrm>
        <a:prstGeom prst="rect">
          <a:avLst/>
        </a:prstGeom>
      </xdr:spPr>
    </xdr:pic>
    <xdr:clientData/>
  </xdr:twoCellAnchor>
  <xdr:twoCellAnchor editAs="absolute">
    <xdr:from>
      <xdr:col>12</xdr:col>
      <xdr:colOff>5870180</xdr:colOff>
      <xdr:row>2</xdr:row>
      <xdr:rowOff>148062</xdr:rowOff>
    </xdr:from>
    <xdr:to>
      <xdr:col>12</xdr:col>
      <xdr:colOff>6317324</xdr:colOff>
      <xdr:row>4</xdr:row>
      <xdr:rowOff>158337</xdr:rowOff>
    </xdr:to>
    <xdr:pic>
      <xdr:nvPicPr>
        <xdr:cNvPr id="10" name="Graphic 9" descr="Downward trend graph with solid fill">
          <a:extLst>
            <a:ext uri="{FF2B5EF4-FFF2-40B4-BE49-F238E27FC236}">
              <a16:creationId xmlns:a16="http://schemas.microsoft.com/office/drawing/2014/main" id="{748FF610-A2B8-4096-B252-369C2AC14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916316" y="543906"/>
          <a:ext cx="447144" cy="406119"/>
        </a:xfrm>
        <a:prstGeom prst="rect">
          <a:avLst/>
        </a:prstGeom>
      </xdr:spPr>
    </xdr:pic>
    <xdr:clientData/>
  </xdr:twoCellAnchor>
  <xdr:twoCellAnchor editAs="absolute">
    <xdr:from>
      <xdr:col>12</xdr:col>
      <xdr:colOff>3285830</xdr:colOff>
      <xdr:row>3</xdr:row>
      <xdr:rowOff>16085</xdr:rowOff>
    </xdr:from>
    <xdr:to>
      <xdr:col>12</xdr:col>
      <xdr:colOff>3704668</xdr:colOff>
      <xdr:row>4</xdr:row>
      <xdr:rowOff>165993</xdr:rowOff>
    </xdr:to>
    <xdr:pic>
      <xdr:nvPicPr>
        <xdr:cNvPr id="12" name="Graphic 11" descr="Bar graph with upward trend with solid fill">
          <a:extLst>
            <a:ext uri="{FF2B5EF4-FFF2-40B4-BE49-F238E27FC236}">
              <a16:creationId xmlns:a16="http://schemas.microsoft.com/office/drawing/2014/main" id="{039D25F9-93F1-4A7C-B4A3-8FAD3A62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328623" y="609851"/>
          <a:ext cx="418838" cy="347830"/>
        </a:xfrm>
        <a:prstGeom prst="rect">
          <a:avLst/>
        </a:prstGeom>
      </xdr:spPr>
    </xdr:pic>
    <xdr:clientData/>
  </xdr:twoCellAnchor>
  <xdr:twoCellAnchor editAs="absolute">
    <xdr:from>
      <xdr:col>12</xdr:col>
      <xdr:colOff>648470</xdr:colOff>
      <xdr:row>3</xdr:row>
      <xdr:rowOff>7914</xdr:rowOff>
    </xdr:from>
    <xdr:to>
      <xdr:col>12</xdr:col>
      <xdr:colOff>1120318</xdr:colOff>
      <xdr:row>4</xdr:row>
      <xdr:rowOff>111441</xdr:rowOff>
    </xdr:to>
    <xdr:pic>
      <xdr:nvPicPr>
        <xdr:cNvPr id="14" name="Graphic 13" descr="Dollar with solid fill">
          <a:extLst>
            <a:ext uri="{FF2B5EF4-FFF2-40B4-BE49-F238E27FC236}">
              <a16:creationId xmlns:a16="http://schemas.microsoft.com/office/drawing/2014/main" id="{3E50A378-98E6-44E2-A6B8-A64C975F5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687920" y="601680"/>
          <a:ext cx="471848" cy="301449"/>
        </a:xfrm>
        <a:prstGeom prst="rect">
          <a:avLst/>
        </a:prstGeom>
      </xdr:spPr>
    </xdr:pic>
    <xdr:clientData/>
  </xdr:twoCellAnchor>
  <xdr:twoCellAnchor editAs="absolute">
    <xdr:from>
      <xdr:col>11</xdr:col>
      <xdr:colOff>958047</xdr:colOff>
      <xdr:row>2</xdr:row>
      <xdr:rowOff>158940</xdr:rowOff>
    </xdr:from>
    <xdr:to>
      <xdr:col>11</xdr:col>
      <xdr:colOff>1276597</xdr:colOff>
      <xdr:row>4</xdr:row>
      <xdr:rowOff>166508</xdr:rowOff>
    </xdr:to>
    <xdr:pic>
      <xdr:nvPicPr>
        <xdr:cNvPr id="16" name="Graphic 15" descr="Shopping cart with solid fill">
          <a:extLst>
            <a:ext uri="{FF2B5EF4-FFF2-40B4-BE49-F238E27FC236}">
              <a16:creationId xmlns:a16="http://schemas.microsoft.com/office/drawing/2014/main" id="{7BE8D8B4-B9AC-4D53-81FB-C7F1CDC1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200515" y="554784"/>
          <a:ext cx="318550" cy="403412"/>
        </a:xfrm>
        <a:prstGeom prst="rect">
          <a:avLst/>
        </a:prstGeom>
      </xdr:spPr>
    </xdr:pic>
    <xdr:clientData/>
  </xdr:twoCellAnchor>
  <xdr:twoCellAnchor>
    <xdr:from>
      <xdr:col>12</xdr:col>
      <xdr:colOff>2804805</xdr:colOff>
      <xdr:row>10</xdr:row>
      <xdr:rowOff>0</xdr:rowOff>
    </xdr:from>
    <xdr:to>
      <xdr:col>14</xdr:col>
      <xdr:colOff>0</xdr:colOff>
      <xdr:row>28</xdr:row>
      <xdr:rowOff>20595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89C9F53-3103-99DE-191A-12A2D3B4C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857250</xdr:colOff>
      <xdr:row>10</xdr:row>
      <xdr:rowOff>11906</xdr:rowOff>
    </xdr:from>
    <xdr:to>
      <xdr:col>12</xdr:col>
      <xdr:colOff>2464594</xdr:colOff>
      <xdr:row>28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C1D314C-064E-E719-B05D-579C0EDCA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D2CD59-57AE-4CB4-8AA9-9701B706AF9D}" name="Table10" displayName="Table10" ref="A1:J35" totalsRowShown="0" headerRowDxfId="15">
  <autoFilter ref="A1:J35" xr:uid="{AFD2CD59-57AE-4CB4-8AA9-9701B706AF9D}"/>
  <tableColumns count="10">
    <tableColumn id="1" xr3:uid="{94EAD5C3-3A9A-466C-8641-C4D35A56506A}" name="Product ID" dataDxfId="14"/>
    <tableColumn id="2" xr3:uid="{ED2B587C-565A-4C07-A603-75AB754A32D4}" name="Product Name" dataDxfId="13"/>
    <tableColumn id="3" xr3:uid="{BAEC6BE5-8C59-4AC8-B284-71182DD2BB84}" name="Brand Name" dataDxfId="12"/>
    <tableColumn id="4" xr3:uid="{8A92424D-7156-450F-89CE-ADAEA59344D2}" name="Price ($)" dataDxfId="11"/>
    <tableColumn id="5" xr3:uid="{C25D9FEB-8A47-4419-A1DA-61E88EBB1FFB}" name="Quantity" dataDxfId="10"/>
    <tableColumn id="6" xr3:uid="{A7582485-A63E-46B0-9942-B4D71F666073}" name="Category" dataDxfId="9"/>
    <tableColumn id="7" xr3:uid="{857D0066-C0B8-43E8-B1DB-76C79195B32E}" name="Price Range">
      <calculatedColumnFormula>IF(D2&gt;=500,"High Price","Standard Price")</calculatedColumnFormula>
    </tableColumn>
    <tableColumn id="8" xr3:uid="{70C085E1-100A-423A-9055-C5A3FB8676A6}" name="Day">
      <calculatedColumnFormula>LEFT(A2,2)</calculatedColumnFormula>
    </tableColumn>
    <tableColumn id="9" xr3:uid="{DCCEA482-111A-457B-8C5D-7A9E6B08D6B4}" name="Country Code">
      <calculatedColumnFormula>RIGHT(A2,2)</calculatedColumnFormula>
    </tableColumn>
    <tableColumn id="10" xr3:uid="{1377E244-552E-4915-881C-7E2D87CA5F36}" name="Month">
      <calculatedColumnFormula>MID(A2,4,3)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5"/>
  <sheetViews>
    <sheetView tabSelected="1" topLeftCell="I1" zoomScale="59" zoomScaleNormal="100" workbookViewId="0">
      <selection activeCell="O18" sqref="O18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5.77734375" customWidth="1"/>
    <col min="9" max="9" width="15.77734375" customWidth="1"/>
    <col min="12" max="12" width="40.77734375" customWidth="1"/>
    <col min="13" max="13" width="95.77734375" customWidth="1"/>
    <col min="14" max="14" width="48.77734375" customWidth="1"/>
    <col min="15" max="15" width="67" bestFit="1" customWidth="1"/>
    <col min="16" max="16" width="55.21875" bestFit="1" customWidth="1"/>
    <col min="17" max="17" width="25.109375" bestFit="1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110</v>
      </c>
      <c r="H1" s="5" t="s">
        <v>111</v>
      </c>
      <c r="I1" s="5" t="s">
        <v>112</v>
      </c>
      <c r="J1" s="5" t="s">
        <v>113</v>
      </c>
      <c r="L1" s="29" t="s">
        <v>118</v>
      </c>
      <c r="M1" s="30"/>
      <c r="N1" s="30"/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9">
        <v>1000</v>
      </c>
      <c r="E2" s="6">
        <v>30</v>
      </c>
      <c r="F2" s="6" t="s">
        <v>26</v>
      </c>
      <c r="G2" t="str">
        <f t="shared" ref="G2:G35" si="0">IF(D2&gt;=500,"High Price","Standard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  <c r="L2" s="30"/>
      <c r="M2" s="30"/>
      <c r="N2" s="30"/>
    </row>
    <row r="3" spans="1:14" ht="15.75" customHeight="1" x14ac:dyDescent="0.25">
      <c r="A3" s="7" t="s">
        <v>27</v>
      </c>
      <c r="B3" s="7" t="s">
        <v>28</v>
      </c>
      <c r="C3" s="7" t="s">
        <v>29</v>
      </c>
      <c r="D3" s="10">
        <v>80</v>
      </c>
      <c r="E3" s="7">
        <v>15</v>
      </c>
      <c r="F3" s="7" t="s">
        <v>30</v>
      </c>
      <c r="G3" t="str">
        <f t="shared" si="0"/>
        <v>Standard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spans="1:14" ht="15.75" customHeight="1" x14ac:dyDescent="0.25">
      <c r="A4" s="6" t="s">
        <v>31</v>
      </c>
      <c r="B4" s="6" t="s">
        <v>32</v>
      </c>
      <c r="C4" s="6" t="s">
        <v>33</v>
      </c>
      <c r="D4" s="9">
        <v>130</v>
      </c>
      <c r="E4" s="6">
        <v>40</v>
      </c>
      <c r="F4" s="6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ht="15.75" customHeight="1" x14ac:dyDescent="0.25">
      <c r="A5" s="7" t="s">
        <v>35</v>
      </c>
      <c r="B5" s="7" t="s">
        <v>36</v>
      </c>
      <c r="C5" s="7" t="s">
        <v>37</v>
      </c>
      <c r="D5" s="10">
        <v>900</v>
      </c>
      <c r="E5" s="7">
        <v>25</v>
      </c>
      <c r="F5" s="7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4" ht="15.75" customHeight="1" x14ac:dyDescent="0.25">
      <c r="A6" s="6" t="s">
        <v>38</v>
      </c>
      <c r="B6" s="6" t="s">
        <v>39</v>
      </c>
      <c r="C6" s="6" t="s">
        <v>40</v>
      </c>
      <c r="D6" s="9">
        <v>70</v>
      </c>
      <c r="E6" s="6">
        <v>20</v>
      </c>
      <c r="F6" s="6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10">
        <v>200</v>
      </c>
      <c r="E7" s="7">
        <v>45</v>
      </c>
      <c r="F7" s="7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4" ht="15.75" customHeight="1" x14ac:dyDescent="0.25">
      <c r="A8" s="6" t="s">
        <v>45</v>
      </c>
      <c r="B8" s="6" t="s">
        <v>46</v>
      </c>
      <c r="C8" s="6" t="s">
        <v>47</v>
      </c>
      <c r="D8" s="9">
        <v>30</v>
      </c>
      <c r="E8" s="6">
        <v>5</v>
      </c>
      <c r="F8" s="6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4" ht="15.75" customHeight="1" x14ac:dyDescent="0.25">
      <c r="A9" s="7" t="s">
        <v>48</v>
      </c>
      <c r="B9" s="7" t="s">
        <v>49</v>
      </c>
      <c r="C9" s="7" t="s">
        <v>50</v>
      </c>
      <c r="D9" s="10">
        <v>90</v>
      </c>
      <c r="E9" s="7">
        <v>35</v>
      </c>
      <c r="F9" s="7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9">
        <v>500</v>
      </c>
      <c r="E10" s="6">
        <v>50</v>
      </c>
      <c r="F10" s="6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10">
        <v>130</v>
      </c>
      <c r="E11" s="7">
        <v>10</v>
      </c>
      <c r="F11" s="7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4" ht="15.75" customHeight="1" x14ac:dyDescent="0.25">
      <c r="A12" s="6" t="s">
        <v>57</v>
      </c>
      <c r="B12" s="6" t="s">
        <v>24</v>
      </c>
      <c r="C12" s="6" t="s">
        <v>58</v>
      </c>
      <c r="D12" s="9">
        <v>950</v>
      </c>
      <c r="E12" s="6">
        <v>25</v>
      </c>
      <c r="F12" s="6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10">
        <v>90</v>
      </c>
      <c r="E13" s="7">
        <v>40</v>
      </c>
      <c r="F13" s="7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4" ht="15.75" customHeight="1" x14ac:dyDescent="0.25">
      <c r="A14" s="6" t="s">
        <v>60</v>
      </c>
      <c r="B14" s="6" t="s">
        <v>32</v>
      </c>
      <c r="C14" s="6" t="s">
        <v>61</v>
      </c>
      <c r="D14" s="9">
        <v>120</v>
      </c>
      <c r="E14" s="6">
        <v>35</v>
      </c>
      <c r="F14" s="6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10">
        <v>150</v>
      </c>
      <c r="E15" s="7">
        <v>15</v>
      </c>
      <c r="F15" s="7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ht="15.75" customHeight="1" x14ac:dyDescent="0.25">
      <c r="A16" s="6" t="s">
        <v>65</v>
      </c>
      <c r="B16" s="6" t="s">
        <v>43</v>
      </c>
      <c r="C16" s="6" t="s">
        <v>66</v>
      </c>
      <c r="D16" s="9">
        <v>250</v>
      </c>
      <c r="E16" s="6">
        <v>20</v>
      </c>
      <c r="F16" s="6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3" ht="15.75" customHeight="1" x14ac:dyDescent="0.25">
      <c r="A17" s="7" t="s">
        <v>67</v>
      </c>
      <c r="B17" s="7" t="s">
        <v>68</v>
      </c>
      <c r="C17" s="7" t="s">
        <v>69</v>
      </c>
      <c r="D17" s="10">
        <v>50</v>
      </c>
      <c r="E17" s="7">
        <v>35</v>
      </c>
      <c r="F17" s="7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9">
        <v>160</v>
      </c>
      <c r="E18" s="6">
        <v>15</v>
      </c>
      <c r="F18" s="6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10">
        <v>980</v>
      </c>
      <c r="E19" s="7">
        <v>10</v>
      </c>
      <c r="F19" s="7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9">
        <v>150</v>
      </c>
      <c r="E20" s="6">
        <v>15</v>
      </c>
      <c r="F20" s="6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10">
        <v>200</v>
      </c>
      <c r="E21" s="7">
        <v>10</v>
      </c>
      <c r="F21" s="7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9">
        <v>700</v>
      </c>
      <c r="E22" s="6">
        <v>50</v>
      </c>
      <c r="F22" s="6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10">
        <v>80</v>
      </c>
      <c r="E23" s="7">
        <v>20</v>
      </c>
      <c r="F23" s="7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9">
        <v>150</v>
      </c>
      <c r="E24" s="6">
        <v>30</v>
      </c>
      <c r="F24" s="6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10">
        <v>50</v>
      </c>
      <c r="E25" s="7">
        <v>35</v>
      </c>
      <c r="F25" s="7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9">
        <v>800</v>
      </c>
      <c r="E26" s="6">
        <v>45</v>
      </c>
      <c r="F26" s="6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10">
        <v>130</v>
      </c>
      <c r="E27" s="7">
        <v>25</v>
      </c>
      <c r="F27" s="7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9">
        <v>400</v>
      </c>
      <c r="E28" s="6">
        <v>40</v>
      </c>
      <c r="F28" s="6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10">
        <v>230</v>
      </c>
      <c r="E29" s="7">
        <v>20</v>
      </c>
      <c r="F29" s="7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3" ht="19.95" customHeight="1" x14ac:dyDescent="0.4">
      <c r="A30" s="6" t="s">
        <v>96</v>
      </c>
      <c r="B30" s="6" t="s">
        <v>97</v>
      </c>
      <c r="C30" s="6" t="s">
        <v>98</v>
      </c>
      <c r="D30" s="9">
        <v>60</v>
      </c>
      <c r="E30" s="6">
        <v>30</v>
      </c>
      <c r="F30" s="6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  <c r="L30" s="27" t="s">
        <v>119</v>
      </c>
      <c r="M30" s="27" t="s">
        <v>120</v>
      </c>
    </row>
    <row r="31" spans="1:13" ht="19.95" customHeight="1" x14ac:dyDescent="0.35">
      <c r="A31" s="7" t="s">
        <v>99</v>
      </c>
      <c r="B31" s="7" t="s">
        <v>100</v>
      </c>
      <c r="C31" s="7" t="s">
        <v>101</v>
      </c>
      <c r="D31" s="10">
        <v>40</v>
      </c>
      <c r="E31" s="7">
        <v>10</v>
      </c>
      <c r="F31" s="7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  <c r="L31" s="15" t="s">
        <v>140</v>
      </c>
      <c r="M31" s="14">
        <f>COUNTIF(Table10[Category],"Electronics")</f>
        <v>15</v>
      </c>
    </row>
    <row r="32" spans="1:13" ht="19.95" customHeight="1" x14ac:dyDescent="0.35">
      <c r="A32" s="6" t="s">
        <v>102</v>
      </c>
      <c r="B32" s="6" t="s">
        <v>88</v>
      </c>
      <c r="C32" s="6" t="s">
        <v>103</v>
      </c>
      <c r="D32" s="9">
        <v>130</v>
      </c>
      <c r="E32" s="6">
        <v>5</v>
      </c>
      <c r="F32" s="6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  <c r="L32" s="15" t="s">
        <v>141</v>
      </c>
      <c r="M32" s="14">
        <f>COUNTIF(Table10[Category],"fashion")</f>
        <v>7</v>
      </c>
    </row>
    <row r="33" spans="1:17" ht="19.95" customHeight="1" x14ac:dyDescent="0.35">
      <c r="A33" s="7" t="s">
        <v>104</v>
      </c>
      <c r="B33" s="7" t="s">
        <v>105</v>
      </c>
      <c r="C33" s="7" t="s">
        <v>106</v>
      </c>
      <c r="D33" s="10">
        <v>50</v>
      </c>
      <c r="E33" s="7">
        <v>50</v>
      </c>
      <c r="F33" s="7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  <c r="L33" s="15" t="s">
        <v>142</v>
      </c>
      <c r="M33" s="14">
        <f>COUNTIF(Table10[Category],"kitchen")</f>
        <v>6</v>
      </c>
    </row>
    <row r="34" spans="1:17" ht="19.95" customHeight="1" x14ac:dyDescent="0.35">
      <c r="A34" s="6" t="s">
        <v>57</v>
      </c>
      <c r="B34" s="6" t="s">
        <v>24</v>
      </c>
      <c r="C34" s="6" t="s">
        <v>58</v>
      </c>
      <c r="D34" s="9">
        <v>950</v>
      </c>
      <c r="E34" s="6">
        <v>25</v>
      </c>
      <c r="F34" s="6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  <c r="L34" s="15" t="s">
        <v>143</v>
      </c>
      <c r="M34" s="14">
        <f>COUNTIF(Table10[Category],"outdoor")</f>
        <v>3</v>
      </c>
    </row>
    <row r="35" spans="1:17" ht="19.95" customHeight="1" x14ac:dyDescent="0.35">
      <c r="A35" s="7" t="s">
        <v>107</v>
      </c>
      <c r="B35" s="7" t="s">
        <v>108</v>
      </c>
      <c r="C35" s="7" t="s">
        <v>109</v>
      </c>
      <c r="D35" s="10">
        <v>100</v>
      </c>
      <c r="E35" s="7">
        <v>20</v>
      </c>
      <c r="F35" s="7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  <c r="L35" s="15" t="s">
        <v>144</v>
      </c>
      <c r="M35" s="14">
        <f>COUNTIF(Table10[Category],"accessories")</f>
        <v>3</v>
      </c>
    </row>
    <row r="36" spans="1:17" ht="16.95" customHeight="1" x14ac:dyDescent="0.25"/>
    <row r="37" spans="1:17" ht="19.95" customHeight="1" x14ac:dyDescent="0.4">
      <c r="L37" s="27" t="s">
        <v>119</v>
      </c>
      <c r="M37" s="27" t="s">
        <v>121</v>
      </c>
    </row>
    <row r="38" spans="1:17" ht="19.95" customHeight="1" x14ac:dyDescent="0.35">
      <c r="L38" s="15" t="s">
        <v>140</v>
      </c>
      <c r="M38" s="16">
        <f>SUMIF(Table10[Category],F2,Table10[Price ($)])</f>
        <v>8050</v>
      </c>
    </row>
    <row r="39" spans="1:17" ht="19.95" customHeight="1" x14ac:dyDescent="0.35">
      <c r="L39" s="15" t="s">
        <v>141</v>
      </c>
      <c r="M39" s="16">
        <f>SUMIF(Table10[Category],F3,Table10[Price ($)])</f>
        <v>590</v>
      </c>
    </row>
    <row r="40" spans="1:17" ht="19.95" customHeight="1" x14ac:dyDescent="0.35">
      <c r="L40" s="15" t="s">
        <v>142</v>
      </c>
      <c r="M40" s="16">
        <f>SUMIF(Table10[Category],F4,Table10[Price ($)])</f>
        <v>860</v>
      </c>
      <c r="N40" s="13"/>
      <c r="Q40" s="12"/>
    </row>
    <row r="41" spans="1:17" ht="19.95" customHeight="1" x14ac:dyDescent="0.35">
      <c r="L41" s="15" t="s">
        <v>143</v>
      </c>
      <c r="M41" s="16">
        <f>SUMIF(Table10[Category],F6,Table10[Price ($)])</f>
        <v>400</v>
      </c>
    </row>
    <row r="42" spans="1:17" ht="19.95" customHeight="1" x14ac:dyDescent="0.35">
      <c r="L42" s="15" t="s">
        <v>144</v>
      </c>
      <c r="M42" s="16">
        <f>SUMIF(Table10[Category],F17,Table10[Price ($)])</f>
        <v>200</v>
      </c>
    </row>
    <row r="43" spans="1:17" ht="15.75" customHeight="1" x14ac:dyDescent="0.25"/>
    <row r="44" spans="1:17" ht="28.05" customHeight="1" x14ac:dyDescent="0.25">
      <c r="L44" s="31" t="s">
        <v>114</v>
      </c>
      <c r="M44" s="32"/>
      <c r="N44" s="33"/>
    </row>
    <row r="45" spans="1:17" ht="28.05" customHeight="1" x14ac:dyDescent="0.25">
      <c r="L45" s="34"/>
      <c r="M45" s="35"/>
      <c r="N45" s="36"/>
    </row>
    <row r="46" spans="1:17" ht="28.05" customHeight="1" x14ac:dyDescent="0.4">
      <c r="L46" s="18" t="s">
        <v>115</v>
      </c>
      <c r="M46" s="18" t="s">
        <v>116</v>
      </c>
      <c r="N46" s="18" t="s">
        <v>117</v>
      </c>
    </row>
    <row r="47" spans="1:17" ht="28.05" customHeight="1" x14ac:dyDescent="0.45">
      <c r="L47" s="17" t="s">
        <v>122</v>
      </c>
      <c r="M47" s="19" t="s">
        <v>130</v>
      </c>
      <c r="N47" s="20">
        <f>COUNTA(Table10[Product ID])</f>
        <v>34</v>
      </c>
    </row>
    <row r="48" spans="1:17" ht="28.05" customHeight="1" x14ac:dyDescent="0.4">
      <c r="L48" s="17" t="s">
        <v>128</v>
      </c>
      <c r="M48" s="19" t="s">
        <v>131</v>
      </c>
      <c r="N48" s="21">
        <f>SUM(Table10[Price ($)])</f>
        <v>10100</v>
      </c>
    </row>
    <row r="49" spans="12:14" ht="28.05" customHeight="1" x14ac:dyDescent="0.4">
      <c r="L49" s="17" t="s">
        <v>127</v>
      </c>
      <c r="M49" s="19" t="s">
        <v>132</v>
      </c>
      <c r="N49" s="21">
        <f>AVERAGE(Table10[Price ($)])</f>
        <v>297.05882352941177</v>
      </c>
    </row>
    <row r="50" spans="12:14" ht="28.05" customHeight="1" x14ac:dyDescent="0.4">
      <c r="L50" s="17" t="s">
        <v>123</v>
      </c>
      <c r="M50" s="19" t="s">
        <v>133</v>
      </c>
      <c r="N50" s="21">
        <f>MIN(Table10[Price ($)])</f>
        <v>30</v>
      </c>
    </row>
    <row r="51" spans="12:14" ht="28.05" customHeight="1" x14ac:dyDescent="0.4">
      <c r="L51" s="17" t="s">
        <v>125</v>
      </c>
      <c r="M51" s="19" t="s">
        <v>134</v>
      </c>
      <c r="N51" s="21">
        <f>MAX(Table10[Price ($)])</f>
        <v>1000</v>
      </c>
    </row>
    <row r="52" spans="12:14" ht="28.05" customHeight="1" x14ac:dyDescent="0.4">
      <c r="L52" s="17" t="s">
        <v>129</v>
      </c>
      <c r="M52" s="19" t="s">
        <v>149</v>
      </c>
      <c r="N52" s="22" t="s">
        <v>145</v>
      </c>
    </row>
    <row r="53" spans="12:14" ht="28.05" customHeight="1" x14ac:dyDescent="0.4">
      <c r="L53" s="17" t="s">
        <v>124</v>
      </c>
      <c r="M53" s="19" t="s">
        <v>135</v>
      </c>
      <c r="N53" s="21">
        <f>SUMIF(Table10[Category],F7,Table10[Price ($)])</f>
        <v>8050</v>
      </c>
    </row>
    <row r="54" spans="12:14" ht="28.05" customHeight="1" x14ac:dyDescent="0.4">
      <c r="L54" s="23" t="s">
        <v>126</v>
      </c>
      <c r="M54" s="24" t="s">
        <v>136</v>
      </c>
      <c r="N54" s="25">
        <f>COUNTIF(Table10[Price ($)],"&lt;100")</f>
        <v>11</v>
      </c>
    </row>
    <row r="55" spans="12:14" ht="28.05" customHeight="1" x14ac:dyDescent="0.4">
      <c r="L55" s="15" t="s">
        <v>150</v>
      </c>
      <c r="M55" s="26" t="s">
        <v>137</v>
      </c>
      <c r="N55" s="28" t="s">
        <v>146</v>
      </c>
    </row>
    <row r="56" spans="12:14" ht="28.05" customHeight="1" x14ac:dyDescent="0.4">
      <c r="L56" s="15" t="s">
        <v>151</v>
      </c>
      <c r="M56" s="26" t="s">
        <v>138</v>
      </c>
      <c r="N56" s="28" t="s">
        <v>147</v>
      </c>
    </row>
    <row r="57" spans="12:14" ht="28.05" customHeight="1" x14ac:dyDescent="0.4">
      <c r="L57" s="15" t="s">
        <v>152</v>
      </c>
      <c r="M57" s="26" t="s">
        <v>139</v>
      </c>
      <c r="N57" s="28" t="s">
        <v>148</v>
      </c>
    </row>
    <row r="58" spans="12:14" ht="15.75" customHeight="1" x14ac:dyDescent="0.25">
      <c r="L58" s="11"/>
    </row>
    <row r="59" spans="12:14" ht="15.75" customHeight="1" x14ac:dyDescent="0.25">
      <c r="L59" s="11"/>
    </row>
    <row r="60" spans="12:14" ht="15.75" customHeight="1" x14ac:dyDescent="0.25"/>
    <row r="61" spans="12:14" ht="15.75" customHeight="1" x14ac:dyDescent="0.25"/>
    <row r="62" spans="12:14" ht="15.75" customHeight="1" x14ac:dyDescent="0.25"/>
    <row r="63" spans="12:14" ht="15.75" customHeight="1" x14ac:dyDescent="0.25"/>
    <row r="64" spans="12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">
    <mergeCell ref="L1:N2"/>
    <mergeCell ref="L44:N45"/>
  </mergeCells>
  <conditionalFormatting sqref="D2:D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{B7107D70-339B-4268-ADD1-2A62ECCAC278}</x14:id>
        </ext>
      </extLst>
    </cfRule>
  </conditionalFormatting>
  <conditionalFormatting sqref="F2:F35">
    <cfRule type="containsText" dxfId="8" priority="3" operator="containsText" text="accessories">
      <formula>NOT(ISERROR(SEARCH("accessories",F2)))</formula>
    </cfRule>
    <cfRule type="containsText" dxfId="7" priority="4" operator="containsText" text="outdoor">
      <formula>NOT(ISERROR(SEARCH("outdoor",F2)))</formula>
    </cfRule>
    <cfRule type="containsText" dxfId="6" priority="5" operator="containsText" text="Electronics">
      <formula>NOT(ISERROR(SEARCH("Electronics",F2)))</formula>
    </cfRule>
    <cfRule type="containsText" dxfId="5" priority="6" operator="containsText" text="fashion">
      <formula>NOT(ISERROR(SEARCH("fashion",F2)))</formula>
    </cfRule>
    <cfRule type="containsText" dxfId="4" priority="7" operator="containsText" text="Electronics">
      <formula>NOT(ISERROR(SEARCH("Electronics",F2)))</formula>
    </cfRule>
    <cfRule type="containsText" dxfId="3" priority="8" operator="containsText" text="kitchen">
      <formula>NOT(ISERROR(SEARCH("kitchen",F2)))</formula>
    </cfRule>
    <cfRule type="containsText" dxfId="2" priority="9" operator="containsText" text="Electronics">
      <formula>NOT(ISERROR(SEARCH("Electronics",F2)))</formula>
    </cfRule>
  </conditionalFormatting>
  <conditionalFormatting sqref="G2:G35">
    <cfRule type="containsText" dxfId="1" priority="10" operator="containsText" text="standard price">
      <formula>NOT(ISERROR(SEARCH("standard price",G2)))</formula>
    </cfRule>
    <cfRule type="containsText" dxfId="0" priority="11" operator="containsText" text="high price">
      <formula>NOT(ISERROR(SEARCH("high price",G2)))</formula>
    </cfRule>
    <cfRule type="colorScale" priority="13">
      <colorScale>
        <cfvo type="min"/>
        <cfvo type="max"/>
        <color rgb="FFFCFCFF"/>
        <color rgb="FFF8696B"/>
      </colorScale>
    </cfRule>
  </conditionalFormatting>
  <conditionalFormatting sqref="L48:M48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107D70-339B-4268-ADD1-2A62ECCA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Sajiv</dc:creator>
  <cp:lastModifiedBy>Varsha Sajiv</cp:lastModifiedBy>
  <dcterms:created xsi:type="dcterms:W3CDTF">2026-10-17T06:53:01Z</dcterms:created>
  <dcterms:modified xsi:type="dcterms:W3CDTF">2026-10-20T18:15:29Z</dcterms:modified>
</cp:coreProperties>
</file>